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ebextensions/webextension1.xml" ContentType="application/vnd.ms-office.webextension+xml"/>
  <Override PartName="/xl/webextensions/webextension2.xml" ContentType="application/vnd.ms-office.webextension+xml"/>
  <Override PartName="/xl/drawings/drawing2.xml" ContentType="application/vnd.openxmlformats-officedocument.drawing+xml"/>
  <Override PartName="/xl/webextensions/webextension3.xml" ContentType="application/vnd.ms-office.webextensi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man\Desktop\Ayman_Python\"/>
    </mc:Choice>
  </mc:AlternateContent>
  <xr:revisionPtr revIDLastSave="0" documentId="13_ncr:1_{FB41493C-BA38-4A72-9129-2788BBC92149}" xr6:coauthVersionLast="47" xr6:coauthVersionMax="47" xr10:uidLastSave="{00000000-0000-0000-0000-000000000000}"/>
  <bookViews>
    <workbookView xWindow="1035" yWindow="1605" windowWidth="17220" windowHeight="11835" xr2:uid="{EDC5A7D6-DF64-4E56-8D4C-345A6ED5B8CA}"/>
  </bookViews>
  <sheets>
    <sheet name="Beginner" sheetId="1" r:id="rId1"/>
    <sheet name="Sheet1" sheetId="2" r:id="rId2"/>
    <sheet name="Sheet2" sheetId="3" r:id="rId3"/>
  </sheets>
  <definedNames>
    <definedName name="_xlnm._FilterDatabase" localSheetId="2" hidden="1">Sheet2!$B$1:$B$19</definedName>
    <definedName name="Z_C1385A97_953E_45AF_970B_0400CD0055CD_.wvu.Cols" localSheetId="0" hidden="1">Beginner!$A:$C,Beginner!$G:$K,Beginner!$M:$M</definedName>
    <definedName name="Z_C1385A97_953E_45AF_970B_0400CD0055CD_.wvu.Rows" localSheetId="0" hidden="1">Beginner!$13:$16</definedName>
  </definedNames>
  <calcPr calcId="191029"/>
  <customWorkbookViews>
    <customWorkbookView name="Complete" guid="{78F92661-2F15-4ED1-B563-B44F2BDC581E}" maximized="1" xWindow="-8" yWindow="-8" windowWidth="1936" windowHeight="1096" activeSheetId="1"/>
    <customWorkbookView name="Custom" guid="{C1385A97-953E-45AF-970B-0400CD0055CD}" maximized="1" xWindow="-8" yWindow="-8" windowWidth="1936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 a="1"/>
  <c r="A5" i="1" s="1"/>
  <c r="O41" i="2" a="1"/>
  <c r="O41" i="2" s="1"/>
  <c r="L41" i="2" a="1"/>
  <c r="L41" i="2" s="1"/>
  <c r="I40" i="2" a="1"/>
  <c r="I40" i="2" s="1"/>
  <c r="F39" i="2" a="1"/>
  <c r="F39" i="2" s="1"/>
  <c r="D39" i="2" a="1"/>
  <c r="D39" i="2" s="1"/>
  <c r="N28" i="1"/>
  <c r="N29" i="1"/>
  <c r="N30" i="1"/>
  <c r="N31" i="1"/>
  <c r="N27" i="1"/>
  <c r="N26" i="1"/>
  <c r="H13" i="1"/>
  <c r="I13" i="1"/>
  <c r="J13" i="1"/>
  <c r="H14" i="1"/>
  <c r="I14" i="1"/>
  <c r="J14" i="1"/>
  <c r="H15" i="1"/>
  <c r="I15" i="1"/>
  <c r="J15" i="1"/>
  <c r="H16" i="1"/>
  <c r="I16" i="1"/>
  <c r="J16" i="1"/>
  <c r="G16" i="1"/>
  <c r="G15" i="1"/>
  <c r="G14" i="1"/>
  <c r="G13" i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4" i="1"/>
  <c r="L4" i="1" s="1"/>
  <c r="M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<sst xmlns="http://schemas.openxmlformats.org/spreadsheetml/2006/main" count="88" uniqueCount="73">
  <si>
    <t>s</t>
  </si>
  <si>
    <t xml:space="preserve">Cup of Joe's Yearly Report </t>
  </si>
  <si>
    <t>Items</t>
  </si>
  <si>
    <t>Original Coffioe</t>
  </si>
  <si>
    <t>Expresso</t>
  </si>
  <si>
    <t>Latte</t>
  </si>
  <si>
    <t>Blueberry</t>
  </si>
  <si>
    <t>Breakfast</t>
  </si>
  <si>
    <t>Croissant</t>
  </si>
  <si>
    <t>Price</t>
  </si>
  <si>
    <t>Qtr.1</t>
  </si>
  <si>
    <t>Qtr.2</t>
  </si>
  <si>
    <t>Qtr.3</t>
  </si>
  <si>
    <t>Qtr.4</t>
  </si>
  <si>
    <t>Total item sold</t>
  </si>
  <si>
    <t>Total Sales</t>
  </si>
  <si>
    <t>Total items sold</t>
  </si>
  <si>
    <t>Average item sold</t>
  </si>
  <si>
    <t>Min item sold</t>
  </si>
  <si>
    <t>Max item sold</t>
  </si>
  <si>
    <t>Excel Beginner Tutorial</t>
  </si>
  <si>
    <t>Taxes</t>
  </si>
  <si>
    <t>Tax Rate</t>
  </si>
  <si>
    <t>Date</t>
  </si>
  <si>
    <t>Note</t>
  </si>
  <si>
    <t>Data Entry form in Excel</t>
  </si>
  <si>
    <t>ID</t>
  </si>
  <si>
    <t>First</t>
  </si>
  <si>
    <t>Last</t>
  </si>
  <si>
    <t>Data</t>
  </si>
  <si>
    <t>Revenue</t>
  </si>
  <si>
    <t>Ayman</t>
  </si>
  <si>
    <t>Siraj</t>
  </si>
  <si>
    <t>B02</t>
  </si>
  <si>
    <t>Sami</t>
  </si>
  <si>
    <t>Ahmed</t>
  </si>
  <si>
    <t>20/5/2022</t>
  </si>
  <si>
    <t>Beginner</t>
  </si>
  <si>
    <t>Intermediate</t>
  </si>
  <si>
    <t>Pro</t>
  </si>
  <si>
    <t>Expert</t>
  </si>
  <si>
    <t>Alt -&gt;D-&gt;O</t>
  </si>
  <si>
    <t xml:space="preserve">Pro : Alt -&gt; H-&gt;F-&gt;I-&gt;S  </t>
  </si>
  <si>
    <t>Expert : =sequence()</t>
  </si>
  <si>
    <t>Column1</t>
  </si>
  <si>
    <t>A</t>
  </si>
  <si>
    <t>B</t>
  </si>
  <si>
    <t>Lolo Saleem 36478</t>
  </si>
  <si>
    <t>Lolo</t>
  </si>
  <si>
    <t>Hatim</t>
  </si>
  <si>
    <t>Saleem</t>
  </si>
  <si>
    <t>Ayman Siraj A10255</t>
  </si>
  <si>
    <t>A10255</t>
  </si>
  <si>
    <t>Sami Ayman C45542</t>
  </si>
  <si>
    <t>Ahmed Hatim D26546</t>
  </si>
  <si>
    <t>C45542</t>
  </si>
  <si>
    <t>D26546</t>
  </si>
  <si>
    <t>Hadin Edress V54858</t>
  </si>
  <si>
    <t>Edress</t>
  </si>
  <si>
    <t>V54858</t>
  </si>
  <si>
    <t>Hadin</t>
  </si>
  <si>
    <t>Van Lex 154SED</t>
  </si>
  <si>
    <t>154SED</t>
  </si>
  <si>
    <t>Van</t>
  </si>
  <si>
    <t>Lex</t>
  </si>
  <si>
    <t>A25</t>
  </si>
  <si>
    <t>dad</t>
  </si>
  <si>
    <t>sdaswd</t>
  </si>
  <si>
    <t>as</t>
  </si>
  <si>
    <t>asdxasd</t>
  </si>
  <si>
    <t>fefcd</t>
  </si>
  <si>
    <t>adcea</t>
  </si>
  <si>
    <t>dscsad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</si>
</sst>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Haettenschweiler"/>
      <family val="2"/>
    </font>
    <font>
      <sz val="11"/>
      <color theme="0"/>
      <name val="Franklin Gothic Heavy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C67B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9"/>
      </bottom>
      <diagonal/>
    </border>
    <border>
      <left/>
      <right/>
      <top style="thin">
        <color theme="0"/>
      </top>
      <bottom style="medium">
        <color theme="9"/>
      </bottom>
      <diagonal/>
    </border>
    <border>
      <left style="thick">
        <color theme="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4" borderId="3" applyNumberFormat="0" applyAlignment="0" applyProtection="0"/>
    <xf numFmtId="0" fontId="1" fillId="5" borderId="4" applyNumberFormat="0" applyFon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5"/>
    <xf numFmtId="0" fontId="8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78">
    <xf numFmtId="0" fontId="0" fillId="0" borderId="0" xfId="0"/>
    <xf numFmtId="0" fontId="6" fillId="9" borderId="5" xfId="10" applyAlignment="1">
      <alignment horizontal="center" vertical="center"/>
    </xf>
    <xf numFmtId="0" fontId="6" fillId="9" borderId="6" xfId="10" applyBorder="1" applyAlignment="1">
      <alignment horizontal="center" vertical="center"/>
    </xf>
    <xf numFmtId="0" fontId="6" fillId="9" borderId="7" xfId="10" applyBorder="1" applyAlignment="1">
      <alignment horizontal="center" vertical="center"/>
    </xf>
    <xf numFmtId="0" fontId="8" fillId="0" borderId="0" xfId="11"/>
    <xf numFmtId="0" fontId="1" fillId="6" borderId="5" xfId="7" applyBorder="1" applyAlignment="1">
      <alignment horizontal="center" vertical="center"/>
    </xf>
    <xf numFmtId="9" fontId="1" fillId="6" borderId="5" xfId="7" applyNumberFormat="1" applyBorder="1" applyAlignment="1">
      <alignment horizontal="center" vertical="center"/>
    </xf>
    <xf numFmtId="0" fontId="5" fillId="4" borderId="9" xfId="5" applyBorder="1" applyAlignment="1">
      <alignment horizontal="center" vertical="center"/>
    </xf>
    <xf numFmtId="0" fontId="6" fillId="9" borderId="10" xfId="10" applyBorder="1" applyAlignment="1">
      <alignment horizontal="center" vertical="center"/>
    </xf>
    <xf numFmtId="0" fontId="6" fillId="10" borderId="8" xfId="10" applyFill="1" applyBorder="1" applyAlignment="1">
      <alignment horizontal="center" vertical="center"/>
    </xf>
    <xf numFmtId="44" fontId="6" fillId="10" borderId="8" xfId="1" applyFont="1" applyFill="1" applyBorder="1" applyAlignment="1">
      <alignment horizontal="center"/>
    </xf>
    <xf numFmtId="0" fontId="5" fillId="4" borderId="9" xfId="5" applyBorder="1" applyAlignment="1">
      <alignment horizontal="right" vertical="center"/>
    </xf>
    <xf numFmtId="44" fontId="1" fillId="8" borderId="8" xfId="9" applyNumberFormat="1" applyBorder="1" applyAlignment="1">
      <alignment horizontal="center" vertical="center"/>
    </xf>
    <xf numFmtId="44" fontId="1" fillId="8" borderId="8" xfId="9" applyNumberFormat="1" applyBorder="1" applyAlignment="1">
      <alignment horizontal="right"/>
    </xf>
    <xf numFmtId="0" fontId="1" fillId="7" borderId="8" xfId="8" applyBorder="1" applyAlignment="1">
      <alignment horizontal="center" vertical="center"/>
    </xf>
    <xf numFmtId="0" fontId="3" fillId="2" borderId="8" xfId="3" applyBorder="1" applyAlignment="1">
      <alignment horizontal="center" vertical="center"/>
    </xf>
    <xf numFmtId="0" fontId="4" fillId="3" borderId="2" xfId="4" applyAlignment="1">
      <alignment horizontal="center" vertical="center"/>
    </xf>
    <xf numFmtId="2" fontId="4" fillId="3" borderId="2" xfId="4" applyNumberFormat="1" applyAlignment="1">
      <alignment horizontal="center" vertical="center"/>
    </xf>
    <xf numFmtId="0" fontId="6" fillId="9" borderId="11" xfId="10" applyBorder="1" applyAlignment="1">
      <alignment horizontal="center" vertical="center"/>
    </xf>
    <xf numFmtId="0" fontId="10" fillId="5" borderId="8" xfId="6" applyFont="1" applyBorder="1" applyAlignment="1">
      <alignment horizontal="center" vertical="center"/>
    </xf>
    <xf numFmtId="0" fontId="6" fillId="9" borderId="5" xfId="10"/>
    <xf numFmtId="0" fontId="6" fillId="9" borderId="10" xfId="10" applyBorder="1"/>
    <xf numFmtId="0" fontId="6" fillId="9" borderId="7" xfId="10" applyBorder="1"/>
    <xf numFmtId="0" fontId="6" fillId="9" borderId="11" xfId="10" applyBorder="1"/>
    <xf numFmtId="0" fontId="11" fillId="12" borderId="8" xfId="13" applyFont="1" applyBorder="1" applyAlignment="1">
      <alignment horizontal="center"/>
    </xf>
    <xf numFmtId="0" fontId="6" fillId="9" borderId="14" xfId="10" applyBorder="1"/>
    <xf numFmtId="0" fontId="12" fillId="13" borderId="5" xfId="12" applyFont="1" applyFill="1" applyBorder="1" applyAlignment="1">
      <alignment horizontal="center"/>
    </xf>
    <xf numFmtId="14" fontId="6" fillId="9" borderId="5" xfId="10" applyNumberFormat="1"/>
    <xf numFmtId="0" fontId="16" fillId="9" borderId="5" xfId="10" applyFont="1" applyAlignment="1">
      <alignment horizontal="center" vertical="center"/>
    </xf>
    <xf numFmtId="0" fontId="5" fillId="9" borderId="5" xfId="10" applyFont="1" applyAlignment="1">
      <alignment horizontal="center"/>
    </xf>
    <xf numFmtId="15" fontId="6" fillId="9" borderId="5" xfId="10" applyNumberFormat="1"/>
    <xf numFmtId="0" fontId="15" fillId="9" borderId="5" xfId="10" applyFont="1"/>
    <xf numFmtId="0" fontId="3" fillId="9" borderId="5" xfId="3" applyFill="1" applyBorder="1"/>
    <xf numFmtId="0" fontId="5" fillId="9" borderId="10" xfId="10" applyFont="1" applyBorder="1" applyAlignment="1">
      <alignment horizontal="center"/>
    </xf>
    <xf numFmtId="14" fontId="5" fillId="9" borderId="10" xfId="10" applyNumberFormat="1" applyFont="1" applyBorder="1" applyAlignment="1">
      <alignment horizontal="center"/>
    </xf>
    <xf numFmtId="6" fontId="5" fillId="9" borderId="10" xfId="10" applyNumberFormat="1" applyFont="1" applyBorder="1" applyAlignment="1">
      <alignment horizontal="center"/>
    </xf>
    <xf numFmtId="0" fontId="17" fillId="9" borderId="5" xfId="10" applyFont="1"/>
    <xf numFmtId="0" fontId="18" fillId="9" borderId="5" xfId="10" applyFont="1" applyAlignment="1">
      <alignment horizontal="center"/>
    </xf>
    <xf numFmtId="0" fontId="6" fillId="9" borderId="5" xfId="10" applyAlignment="1">
      <alignment horizontal="center"/>
    </xf>
    <xf numFmtId="15" fontId="10" fillId="5" borderId="8" xfId="6" applyNumberFormat="1" applyFont="1" applyBorder="1" applyAlignment="1">
      <alignment horizontal="center" vertical="center"/>
    </xf>
    <xf numFmtId="15" fontId="1" fillId="5" borderId="8" xfId="6" applyNumberFormat="1" applyFont="1" applyBorder="1" applyAlignment="1">
      <alignment horizontal="center" vertical="center"/>
    </xf>
    <xf numFmtId="0" fontId="1" fillId="5" borderId="8" xfId="6" applyFont="1" applyBorder="1" applyAlignment="1">
      <alignment horizontal="center" vertical="center"/>
    </xf>
    <xf numFmtId="0" fontId="6" fillId="9" borderId="23" xfId="10" applyBorder="1" applyAlignment="1">
      <alignment horizontal="center" vertical="center"/>
    </xf>
    <xf numFmtId="0" fontId="5" fillId="4" borderId="25" xfId="5" applyBorder="1" applyAlignment="1">
      <alignment horizontal="center" vertical="center"/>
    </xf>
    <xf numFmtId="0" fontId="6" fillId="10" borderId="24" xfId="10" applyFill="1" applyBorder="1" applyAlignment="1">
      <alignment horizontal="center" vertical="center"/>
    </xf>
    <xf numFmtId="44" fontId="6" fillId="10" borderId="24" xfId="1" applyFont="1" applyFill="1" applyBorder="1" applyAlignment="1">
      <alignment horizontal="center"/>
    </xf>
    <xf numFmtId="0" fontId="4" fillId="3" borderId="2" xfId="4" applyAlignment="1">
      <alignment horizontal="center" vertical="center"/>
    </xf>
    <xf numFmtId="0" fontId="9" fillId="9" borderId="1" xfId="2" applyFont="1" applyFill="1" applyAlignment="1">
      <alignment horizontal="center" vertical="center"/>
    </xf>
    <xf numFmtId="0" fontId="9" fillId="9" borderId="1" xfId="2" applyFont="1" applyFill="1" applyAlignment="1">
      <alignment horizontal="center"/>
    </xf>
    <xf numFmtId="0" fontId="9" fillId="9" borderId="13" xfId="2" applyFont="1" applyFill="1" applyBorder="1" applyAlignment="1">
      <alignment horizontal="center"/>
    </xf>
    <xf numFmtId="0" fontId="9" fillId="9" borderId="12" xfId="2" applyFont="1" applyFill="1" applyBorder="1" applyAlignment="1">
      <alignment horizontal="center"/>
    </xf>
    <xf numFmtId="0" fontId="13" fillId="9" borderId="15" xfId="10" applyFont="1" applyBorder="1" applyAlignment="1">
      <alignment horizontal="center" vertical="center"/>
    </xf>
    <xf numFmtId="0" fontId="13" fillId="9" borderId="16" xfId="10" applyFont="1" applyBorder="1" applyAlignment="1">
      <alignment horizontal="center" vertical="center"/>
    </xf>
    <xf numFmtId="0" fontId="13" fillId="9" borderId="17" xfId="10" applyFont="1" applyBorder="1" applyAlignment="1">
      <alignment horizontal="center" vertical="center"/>
    </xf>
    <xf numFmtId="0" fontId="13" fillId="9" borderId="18" xfId="10" applyFont="1" applyBorder="1" applyAlignment="1">
      <alignment horizontal="center" vertical="center"/>
    </xf>
    <xf numFmtId="0" fontId="13" fillId="9" borderId="0" xfId="10" applyFont="1" applyBorder="1" applyAlignment="1">
      <alignment horizontal="center" vertical="center"/>
    </xf>
    <xf numFmtId="0" fontId="13" fillId="9" borderId="19" xfId="10" applyFont="1" applyBorder="1" applyAlignment="1">
      <alignment horizontal="center" vertical="center"/>
    </xf>
    <xf numFmtId="0" fontId="13" fillId="9" borderId="20" xfId="10" applyFont="1" applyBorder="1" applyAlignment="1">
      <alignment horizontal="center" vertical="center"/>
    </xf>
    <xf numFmtId="0" fontId="13" fillId="9" borderId="21" xfId="10" applyFont="1" applyBorder="1" applyAlignment="1">
      <alignment horizontal="center" vertical="center"/>
    </xf>
    <xf numFmtId="0" fontId="13" fillId="9" borderId="22" xfId="10" applyFont="1" applyBorder="1" applyAlignment="1">
      <alignment horizontal="center" vertical="center"/>
    </xf>
    <xf numFmtId="0" fontId="14" fillId="9" borderId="15" xfId="10" applyFont="1" applyBorder="1" applyAlignment="1">
      <alignment horizontal="center" vertical="center"/>
    </xf>
    <xf numFmtId="0" fontId="14" fillId="9" borderId="16" xfId="10" applyFont="1" applyBorder="1" applyAlignment="1">
      <alignment horizontal="center" vertical="center"/>
    </xf>
    <xf numFmtId="0" fontId="14" fillId="9" borderId="17" xfId="10" applyFont="1" applyBorder="1" applyAlignment="1">
      <alignment horizontal="center" vertical="center"/>
    </xf>
    <xf numFmtId="0" fontId="14" fillId="9" borderId="18" xfId="10" applyFont="1" applyBorder="1" applyAlignment="1">
      <alignment horizontal="center" vertical="center"/>
    </xf>
    <xf numFmtId="0" fontId="14" fillId="9" borderId="0" xfId="10" applyFont="1" applyBorder="1" applyAlignment="1">
      <alignment horizontal="center" vertical="center"/>
    </xf>
    <xf numFmtId="0" fontId="14" fillId="9" borderId="19" xfId="10" applyFont="1" applyBorder="1" applyAlignment="1">
      <alignment horizontal="center" vertical="center"/>
    </xf>
    <xf numFmtId="0" fontId="14" fillId="9" borderId="20" xfId="10" applyFont="1" applyBorder="1" applyAlignment="1">
      <alignment horizontal="center" vertical="center"/>
    </xf>
    <xf numFmtId="0" fontId="14" fillId="9" borderId="21" xfId="10" applyFont="1" applyBorder="1" applyAlignment="1">
      <alignment horizontal="center" vertical="center"/>
    </xf>
    <xf numFmtId="0" fontId="14" fillId="9" borderId="22" xfId="10" applyFont="1" applyBorder="1" applyAlignment="1">
      <alignment horizontal="center" vertical="center"/>
    </xf>
    <xf numFmtId="0" fontId="15" fillId="9" borderId="15" xfId="10" applyFont="1" applyBorder="1" applyAlignment="1">
      <alignment horizontal="center" vertical="center"/>
    </xf>
    <xf numFmtId="0" fontId="15" fillId="9" borderId="16" xfId="10" applyFont="1" applyBorder="1" applyAlignment="1">
      <alignment horizontal="center" vertical="center"/>
    </xf>
    <xf numFmtId="0" fontId="15" fillId="9" borderId="17" xfId="10" applyFont="1" applyBorder="1" applyAlignment="1">
      <alignment horizontal="center" vertical="center"/>
    </xf>
    <xf numFmtId="0" fontId="15" fillId="9" borderId="18" xfId="10" applyFont="1" applyBorder="1" applyAlignment="1">
      <alignment horizontal="center" vertical="center"/>
    </xf>
    <xf numFmtId="0" fontId="15" fillId="9" borderId="0" xfId="10" applyFont="1" applyBorder="1" applyAlignment="1">
      <alignment horizontal="center" vertical="center"/>
    </xf>
    <xf numFmtId="0" fontId="15" fillId="9" borderId="19" xfId="10" applyFont="1" applyBorder="1" applyAlignment="1">
      <alignment horizontal="center" vertical="center"/>
    </xf>
    <xf numFmtId="0" fontId="15" fillId="9" borderId="20" xfId="10" applyFont="1" applyBorder="1" applyAlignment="1">
      <alignment horizontal="center" vertical="center"/>
    </xf>
    <xf numFmtId="0" fontId="15" fillId="9" borderId="21" xfId="10" applyFont="1" applyBorder="1" applyAlignment="1">
      <alignment horizontal="center" vertical="center"/>
    </xf>
    <xf numFmtId="0" fontId="15" fillId="9" borderId="22" xfId="10" applyFont="1" applyBorder="1" applyAlignment="1">
      <alignment horizontal="center" vertical="center"/>
    </xf>
  </cellXfs>
  <cellStyles count="14">
    <cellStyle name="40% - Accent2" xfId="7" builtinId="35"/>
    <cellStyle name="40% - Accent6" xfId="9" builtinId="51"/>
    <cellStyle name="60% - Accent1" xfId="12" builtinId="32"/>
    <cellStyle name="60% - Accent4" xfId="8" builtinId="44"/>
    <cellStyle name="60% - Accent6" xfId="13" builtinId="52"/>
    <cellStyle name="Calculation" xfId="4" builtinId="22"/>
    <cellStyle name="Check Cell" xfId="5" builtinId="23"/>
    <cellStyle name="Currency" xfId="1" builtinId="4"/>
    <cellStyle name="Dark Gray" xfId="10" xr:uid="{FC61B594-F57C-4A46-99F3-FCFE8B7D39EC}"/>
    <cellStyle name="Good" xfId="3" builtinId="26"/>
    <cellStyle name="Heading 1" xfId="2" builtinId="16"/>
    <cellStyle name="Hyperlink" xfId="11" builtinId="8"/>
    <cellStyle name="Normal" xfId="0" builtinId="0"/>
    <cellStyle name="Note" xfId="6" builtinId="1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double">
          <color rgb="FF3F3F3F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theme="0"/>
        </right>
        <top style="thin">
          <color theme="0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colors>
    <mruColors>
      <color rgb="FF7C67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11/relationships/webextension" Target="../webextensions/webextension2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microsoft.com/office/2011/relationships/webextension" Target="../webextensions/webextens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1301750</xdr:colOff>
      <xdr:row>25</xdr:row>
      <xdr:rowOff>158749</xdr:rowOff>
    </xdr:from>
    <xdr:to>
      <xdr:col>15</xdr:col>
      <xdr:colOff>625475</xdr:colOff>
      <xdr:row>54</xdr:row>
      <xdr:rowOff>158749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3" name="Add-in 2">
              <a:extLst>
                <a:ext uri="{FF2B5EF4-FFF2-40B4-BE49-F238E27FC236}">
                  <a16:creationId xmlns:a16="http://schemas.microsoft.com/office/drawing/2014/main" id="{C171275B-CFCA-81F6-2916-58EA5F97F743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3" name="Add-in 2">
              <a:extLst>
                <a:ext uri="{FF2B5EF4-FFF2-40B4-BE49-F238E27FC236}">
                  <a16:creationId xmlns:a16="http://schemas.microsoft.com/office/drawing/2014/main" id="{C171275B-CFCA-81F6-2916-58EA5F97F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1418169</xdr:colOff>
      <xdr:row>0</xdr:row>
      <xdr:rowOff>170920</xdr:rowOff>
    </xdr:from>
    <xdr:to>
      <xdr:col>15</xdr:col>
      <xdr:colOff>294224</xdr:colOff>
      <xdr:row>24</xdr:row>
      <xdr:rowOff>127000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4" name="Add-in 3">
              <a:extLst>
                <a:ext uri="{FF2B5EF4-FFF2-40B4-BE49-F238E27FC236}">
                  <a16:creationId xmlns:a16="http://schemas.microsoft.com/office/drawing/2014/main" id="{759BD11E-E6B3-E9E1-3E87-540A28E6EF27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3"/>
            </a:graphicData>
          </a:graphic>
        </xdr:graphicFrame>
      </mc:Choice>
      <mc:Fallback>
        <xdr:pic>
          <xdr:nvPicPr>
            <xdr:cNvPr id="4" name="Add-in 3">
              <a:extLst>
                <a:ext uri="{FF2B5EF4-FFF2-40B4-BE49-F238E27FC236}">
                  <a16:creationId xmlns:a16="http://schemas.microsoft.com/office/drawing/2014/main" id="{759BD11E-E6B3-E9E1-3E87-540A28E6EF2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0</xdr:row>
      <xdr:rowOff>42862</xdr:rowOff>
    </xdr:from>
    <xdr:to>
      <xdr:col>28</xdr:col>
      <xdr:colOff>257175</xdr:colOff>
      <xdr:row>20</xdr:row>
      <xdr:rowOff>147637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407097FD-9199-A1C0-B19F-18014D447604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407097FD-9199-A1C0-B19F-18014D4476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822FC2-5473-4550-BF4E-FBEF301A741E}" name="Table19" displayName="Table19" ref="G3:N9" totalsRowShown="0" headerRowDxfId="13" tableBorderDxfId="12" headerRowCellStyle="Check Cell">
  <autoFilter ref="G3:N9" xr:uid="{AB822FC2-5473-4550-BF4E-FBEF301A741E}"/>
  <tableColumns count="8">
    <tableColumn id="1" xr3:uid="{667DB4AC-FD63-4145-9126-D163599BE960}" name="Qtr.1" dataDxfId="11" dataCellStyle="60% - Accent4"/>
    <tableColumn id="2" xr3:uid="{618D6593-8C9C-4FFB-8912-EC1113E6345F}" name="Qtr.2" dataDxfId="10" dataCellStyle="60% - Accent4"/>
    <tableColumn id="3" xr3:uid="{1D8EA23C-8551-4630-8BAF-7703AF5E23C7}" name="Qtr.3" dataDxfId="9" dataCellStyle="60% - Accent4"/>
    <tableColumn id="4" xr3:uid="{42B1B2E5-F9C9-4811-BAF5-171D91950A2C}" name="Qtr.4" dataDxfId="8" dataCellStyle="60% - Accent4"/>
    <tableColumn id="5" xr3:uid="{1533CBA5-061A-46C2-BA05-5BE28FB26AD1}" name="Total item sold" dataDxfId="7" dataCellStyle="Good">
      <calculatedColumnFormula>SUM(G4:J4)</calculatedColumnFormula>
    </tableColumn>
    <tableColumn id="6" xr3:uid="{186694C2-2D73-4B7C-A6EC-0517D9504915}" name="Total Sales" dataDxfId="6" dataCellStyle="40% - Accent6">
      <calculatedColumnFormula>K4*E4</calculatedColumnFormula>
    </tableColumn>
    <tableColumn id="7" xr3:uid="{28C73BD7-3E39-498D-AE10-CAC9E8AFCF64}" name="Taxes" dataDxfId="5" dataCellStyle="40% - Accent6">
      <calculatedColumnFormula>L4*$J$1</calculatedColumnFormula>
    </tableColumn>
    <tableColumn id="8" xr3:uid="{9DBE1A06-115F-4C10-B1F8-D35264A4ED01}" name="Column1" dataDxfId="4" dataCellStyle="Dark Gr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B22829F-963F-4843-ABAC-EB6EAECC05DE}" name="Table24" displayName="Table24" ref="D3:E9" totalsRowShown="0" headerRowDxfId="3" tableBorderDxfId="2" headerRowCellStyle="Check Cell">
  <autoFilter ref="D3:E9" xr:uid="{4B22829F-963F-4843-ABAC-EB6EAECC05DE}">
    <filterColumn colId="0">
      <filters>
        <filter val="Expresso"/>
      </filters>
    </filterColumn>
  </autoFilter>
  <tableColumns count="2">
    <tableColumn id="1" xr3:uid="{9F7CE243-E15B-4A45-8E04-493A335AEEA6}" name="Items" dataDxfId="1" dataCellStyle="Dark Gray"/>
    <tableColumn id="2" xr3:uid="{2D76E07B-7967-4254-8333-675562802A8C}" name="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4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_rels/webextension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71275B-CFCA-81F6-2916-58EA5F97F743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https://www.youtube.com/watch?v=nCAD6fyutJ0&amp;list=LL&amp;index=3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759BD11E-E6B3-E9E1-3E87-540A28E6EF27}">
  <we:reference id="wa104221182" version="3.3.0.0" store="en-US" storeType="OMEX"/>
  <we:alternateReferences>
    <we:reference id="WA104221182" version="3.3.0.0" store="" storeType="OMEX"/>
  </we:alternateReferences>
  <we:properties>
    <we:property name="autoplay" value="0"/>
    <we:property name="endtime" value="0"/>
    <we:property name="starttime" value="0"/>
    <we:property name="vid" value="&quot;Data Entry form in Excel\t\t\t\t\t\t\t\t\t\t\t\t\t\t\t\t\t\t\t\t\t\t\t\t \t\t\t\t\t\t\t\t\t\t\t\t\t\t\t\t\t\t\t\t\t\t\t\t ID\tFirst\tLast\tData\tRevenue\t\t\t\t\t\t\t\t\t\t\t\t\t\t\t\t\t\t\t\t A01\tAyman\tSiraj\t12/5/2025\t$500 \t\t\t\t\t\t\t\t\t\t\t\t\t\t\t\t\t\t\t\t B02\tSami\tAhmed\t20/5/2022\t$500 \t\t\t\t\t\t\t\t\t\t\t\t\t\t\t\t\t\t\t\t \t\t\t\t\t\t\t\t\t\t\t\t\t\t\t\t\t\t\t\t\t\t\t\t \t\t\t\t\t\t\t\t\t\t\t\t\t\t\t\t\t\t\t\t\t\t\t\t \t\t\t\t\t\t\t\t\t\t\t\t\t\t\t\t\t\t\t\t\t\t\t\t \t\t\t\t\t\t\t\t\t\t\t\t\t\t\t\t\t\t\t\t\t\t\t\t \t\t\t\t\t\t\t\t\t\t\t\t\t\t\t\t\t\t\t\t\t\t\t\t \t\t\t\t\t\t\t\t\t\t\t\t\t\t\t\t\t\t\t\t\t\t\t\t \t\t\t\t\t\t\t\t\t\t\t\t\t\t\t\t\t\t\t\t\t\t\t\t \t\t\t\t\t\t\t\t\t\t\t\t\t\t\t\t\t\t\t\t\t\t\t\thttps://www.youtube.com/watch?v=KjwaW8ac9hw&amp;list=LL&amp;index=1&quot;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407097FD-9199-A1C0-B19F-18014D447604}">
  <we:reference id="wa104221182" version="3.3.0.0" store="en-US" storeType="OMEX"/>
  <we:alternateReferences>
    <we:reference id="WA104221182" version="3.3.0.0" store="" storeType="OMEX"/>
  </we:alternateReferences>
  <we:properties/>
  <we:bindings/>
  <we:snapshot xmlns:r="http://schemas.openxmlformats.org/officeDocument/2006/relationships" r:embed="rId1"/>
</we:webextension>
</file>

<file path=xl/webextensions/webextension4.xml><?xml version="1.0" encoding="utf-8"?>
<we:webextension xmlns:we="http://schemas.microsoft.com/office/webextensions/webextension/2010/11" id="{BA2F41D9-DEC3-45C4-B588-5A8C7F277E74}">
  <we:reference id="wa104191381" version="1.0.0.0" store="en-US" storeType="OMEX"/>
  <we:alternateReferences>
    <we:reference id="WA104191381" version="1.0.0.0" store="WA10419138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youtube.com/watch?v=310z5K14JX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DB26-8D8D-4166-AE72-AA9D1D3B5BE8}">
  <dimension ref="A1:W35"/>
  <sheetViews>
    <sheetView tabSelected="1" zoomScale="90" zoomScaleNormal="90" workbookViewId="0">
      <selection activeCell="D3" sqref="D3:E9"/>
    </sheetView>
  </sheetViews>
  <sheetFormatPr defaultColWidth="14" defaultRowHeight="15" x14ac:dyDescent="0.25"/>
  <cols>
    <col min="1" max="1" width="21.85546875" style="1" customWidth="1"/>
    <col min="2" max="3" width="14" style="1" customWidth="1"/>
    <col min="4" max="5" width="14" style="1"/>
    <col min="6" max="6" width="4.85546875" style="1" customWidth="1"/>
    <col min="7" max="10" width="14" style="1" customWidth="1"/>
    <col min="11" max="11" width="16" style="1" customWidth="1"/>
    <col min="12" max="12" width="14" style="1"/>
    <col min="13" max="13" width="14" style="1" customWidth="1"/>
    <col min="14" max="16384" width="14" style="1"/>
  </cols>
  <sheetData>
    <row r="1" spans="1:23" ht="20.25" thickBot="1" x14ac:dyDescent="0.3">
      <c r="A1" s="47" t="s">
        <v>1</v>
      </c>
      <c r="B1" s="47"/>
      <c r="I1" s="5" t="s">
        <v>22</v>
      </c>
      <c r="J1" s="6">
        <v>7.2499999999999995E-2</v>
      </c>
    </row>
    <row r="2" spans="1:23" ht="16.5" thickTop="1" thickBot="1" x14ac:dyDescent="0.3">
      <c r="A2" s="18"/>
      <c r="B2" s="18"/>
      <c r="G2" s="18"/>
      <c r="H2" s="18"/>
      <c r="I2" s="18"/>
      <c r="J2" s="18"/>
      <c r="K2" s="18"/>
      <c r="L2" s="18"/>
      <c r="M2" s="18"/>
      <c r="N2" s="18"/>
    </row>
    <row r="3" spans="1:23" ht="15.75" thickTop="1" x14ac:dyDescent="0.25">
      <c r="A3" s="39" t="s">
        <v>23</v>
      </c>
      <c r="B3" s="19" t="s">
        <v>24</v>
      </c>
      <c r="C3" s="3"/>
      <c r="D3" s="43" t="s">
        <v>2</v>
      </c>
      <c r="E3" s="43" t="s">
        <v>9</v>
      </c>
      <c r="F3" s="7"/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11" t="s">
        <v>21</v>
      </c>
      <c r="N3" s="42" t="s">
        <v>44</v>
      </c>
      <c r="U3" s="4" t="s">
        <v>20</v>
      </c>
    </row>
    <row r="4" spans="1:23" hidden="1" x14ac:dyDescent="0.25">
      <c r="A4" s="39">
        <v>45917</v>
      </c>
      <c r="B4" s="19" t="s">
        <v>66</v>
      </c>
      <c r="C4" s="2"/>
      <c r="D4" s="9" t="s">
        <v>3</v>
      </c>
      <c r="E4" s="10">
        <v>1.75</v>
      </c>
      <c r="F4" s="9"/>
      <c r="G4" s="14">
        <v>453</v>
      </c>
      <c r="H4" s="14">
        <v>563</v>
      </c>
      <c r="I4" s="14">
        <v>1253</v>
      </c>
      <c r="J4" s="14">
        <v>1515</v>
      </c>
      <c r="K4" s="15">
        <f t="shared" ref="K4:K9" si="0">SUM(G4:J4)</f>
        <v>3784</v>
      </c>
      <c r="L4" s="12">
        <f t="shared" ref="L4:L9" si="1">K4*E4</f>
        <v>6622</v>
      </c>
      <c r="M4" s="13">
        <f t="shared" ref="M4:M9" si="2">L4*$J$1</f>
        <v>480.09499999999997</v>
      </c>
      <c r="N4" s="2"/>
    </row>
    <row r="5" spans="1:23" x14ac:dyDescent="0.25">
      <c r="A5" s="39" cm="1">
        <f t="array" ref="A5:A34">_xlfn.SEQUENCE(30,1,"9/18/2025",1)</f>
        <v>45918</v>
      </c>
      <c r="B5" s="19" t="s">
        <v>67</v>
      </c>
      <c r="C5" s="2"/>
      <c r="D5" s="9" t="s">
        <v>4</v>
      </c>
      <c r="E5" s="10">
        <v>2</v>
      </c>
      <c r="F5" s="9"/>
      <c r="G5" s="14">
        <v>288</v>
      </c>
      <c r="H5" s="14">
        <v>432</v>
      </c>
      <c r="I5" s="14">
        <v>625</v>
      </c>
      <c r="J5" s="14">
        <v>1127</v>
      </c>
      <c r="K5" s="15">
        <f t="shared" si="0"/>
        <v>2472</v>
      </c>
      <c r="L5" s="12">
        <f t="shared" si="1"/>
        <v>4944</v>
      </c>
      <c r="M5" s="13">
        <f t="shared" si="2"/>
        <v>358.44</v>
      </c>
      <c r="N5" s="2"/>
    </row>
    <row r="6" spans="1:23" hidden="1" x14ac:dyDescent="0.25">
      <c r="A6" s="39">
        <v>45919</v>
      </c>
      <c r="B6" s="19" t="s">
        <v>68</v>
      </c>
      <c r="C6" s="2"/>
      <c r="D6" s="9" t="s">
        <v>5</v>
      </c>
      <c r="E6" s="10">
        <v>3.25</v>
      </c>
      <c r="F6" s="9"/>
      <c r="G6" s="14">
        <v>511</v>
      </c>
      <c r="H6" s="14">
        <v>1067</v>
      </c>
      <c r="I6" s="14">
        <v>518</v>
      </c>
      <c r="J6" s="14">
        <v>636</v>
      </c>
      <c r="K6" s="15">
        <f t="shared" si="0"/>
        <v>2732</v>
      </c>
      <c r="L6" s="12">
        <f t="shared" si="1"/>
        <v>8879</v>
      </c>
      <c r="M6" s="13">
        <f t="shared" si="2"/>
        <v>643.72749999999996</v>
      </c>
      <c r="N6" s="2"/>
    </row>
    <row r="7" spans="1:23" hidden="1" x14ac:dyDescent="0.25">
      <c r="A7" s="39">
        <v>45920</v>
      </c>
      <c r="B7" s="19" t="s">
        <v>68</v>
      </c>
      <c r="C7" s="2"/>
      <c r="D7" s="9" t="s">
        <v>6</v>
      </c>
      <c r="E7" s="10">
        <v>1.5</v>
      </c>
      <c r="F7" s="9"/>
      <c r="G7" s="14">
        <v>658</v>
      </c>
      <c r="H7" s="14">
        <v>825</v>
      </c>
      <c r="I7" s="14">
        <v>1096</v>
      </c>
      <c r="J7" s="14">
        <v>1201</v>
      </c>
      <c r="K7" s="15">
        <f t="shared" si="0"/>
        <v>3780</v>
      </c>
      <c r="L7" s="12">
        <f t="shared" si="1"/>
        <v>5670</v>
      </c>
      <c r="M7" s="13">
        <f t="shared" si="2"/>
        <v>411.07499999999999</v>
      </c>
      <c r="N7" s="2"/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</row>
    <row r="8" spans="1:23" hidden="1" x14ac:dyDescent="0.25">
      <c r="A8" s="39">
        <v>45921</v>
      </c>
      <c r="B8" s="19" t="s">
        <v>69</v>
      </c>
      <c r="C8" s="2"/>
      <c r="D8" s="9" t="s">
        <v>7</v>
      </c>
      <c r="E8" s="10">
        <v>3</v>
      </c>
      <c r="F8" s="9"/>
      <c r="G8" s="14">
        <v>346</v>
      </c>
      <c r="H8" s="14">
        <v>453</v>
      </c>
      <c r="I8" s="14">
        <v>705</v>
      </c>
      <c r="J8" s="14">
        <v>1419</v>
      </c>
      <c r="K8" s="15">
        <f t="shared" si="0"/>
        <v>2923</v>
      </c>
      <c r="L8" s="12">
        <f t="shared" si="1"/>
        <v>8769</v>
      </c>
      <c r="M8" s="13">
        <f t="shared" si="2"/>
        <v>635.75249999999994</v>
      </c>
      <c r="N8" s="2" t="s">
        <v>0</v>
      </c>
      <c r="R8" s="1">
        <v>10</v>
      </c>
    </row>
    <row r="9" spans="1:23" hidden="1" x14ac:dyDescent="0.25">
      <c r="A9" s="39">
        <v>45922</v>
      </c>
      <c r="B9" s="19" t="s">
        <v>70</v>
      </c>
      <c r="C9" s="2"/>
      <c r="D9" s="44" t="s">
        <v>8</v>
      </c>
      <c r="E9" s="45">
        <v>1</v>
      </c>
      <c r="F9" s="9"/>
      <c r="G9" s="14">
        <v>118</v>
      </c>
      <c r="H9" s="14">
        <v>398</v>
      </c>
      <c r="I9" s="14">
        <v>879</v>
      </c>
      <c r="J9" s="14">
        <v>939</v>
      </c>
      <c r="K9" s="15">
        <f t="shared" si="0"/>
        <v>2334</v>
      </c>
      <c r="L9" s="12">
        <f t="shared" si="1"/>
        <v>2334</v>
      </c>
      <c r="M9" s="13">
        <f t="shared" si="2"/>
        <v>169.21499999999997</v>
      </c>
      <c r="N9" s="2"/>
      <c r="R9" s="1">
        <v>10</v>
      </c>
    </row>
    <row r="10" spans="1:23" x14ac:dyDescent="0.25">
      <c r="A10" s="39">
        <v>45923</v>
      </c>
      <c r="B10" s="19" t="s">
        <v>71</v>
      </c>
      <c r="C10" s="3"/>
      <c r="D10" s="8"/>
      <c r="E10" s="8"/>
      <c r="F10" s="8"/>
      <c r="G10" s="8"/>
      <c r="H10" s="8"/>
      <c r="I10" s="8"/>
      <c r="J10" s="8"/>
      <c r="K10" s="8"/>
      <c r="L10" s="8"/>
      <c r="M10" s="8"/>
      <c r="R10" s="1">
        <v>10</v>
      </c>
    </row>
    <row r="11" spans="1:23" x14ac:dyDescent="0.25">
      <c r="A11" s="39">
        <v>45924</v>
      </c>
      <c r="B11" s="19" t="s">
        <v>72</v>
      </c>
      <c r="C11" s="3"/>
      <c r="R11" s="1">
        <v>10</v>
      </c>
    </row>
    <row r="12" spans="1:23" x14ac:dyDescent="0.25">
      <c r="A12" s="39">
        <v>45925</v>
      </c>
      <c r="B12" s="19">
        <v>6455</v>
      </c>
      <c r="C12" s="3"/>
      <c r="R12" s="1">
        <v>10</v>
      </c>
    </row>
    <row r="13" spans="1:23" x14ac:dyDescent="0.25">
      <c r="A13" s="39">
        <v>45926</v>
      </c>
      <c r="B13" s="19">
        <v>545548</v>
      </c>
      <c r="C13" s="3"/>
      <c r="D13" s="46" t="s">
        <v>16</v>
      </c>
      <c r="E13" s="46"/>
      <c r="F13" s="46"/>
      <c r="G13" s="16">
        <f>SUM(G4:G9)</f>
        <v>2374</v>
      </c>
      <c r="H13" s="16">
        <f>SUM(H4:H9)</f>
        <v>3738</v>
      </c>
      <c r="I13" s="16">
        <f>SUM(I4:I9)</f>
        <v>5076</v>
      </c>
      <c r="J13" s="16">
        <f>SUM(J4:J9)</f>
        <v>6837</v>
      </c>
      <c r="R13" s="1">
        <v>10</v>
      </c>
    </row>
    <row r="14" spans="1:23" x14ac:dyDescent="0.25">
      <c r="A14" s="39">
        <v>45927</v>
      </c>
      <c r="B14" s="19">
        <v>45454</v>
      </c>
      <c r="C14" s="3"/>
      <c r="D14" s="46" t="s">
        <v>17</v>
      </c>
      <c r="E14" s="46"/>
      <c r="F14" s="46"/>
      <c r="G14" s="17">
        <f>AVERAGE(G4:G9)</f>
        <v>395.66666666666669</v>
      </c>
      <c r="H14" s="17">
        <f>AVERAGE(H4:H9)</f>
        <v>623</v>
      </c>
      <c r="I14" s="17">
        <f>AVERAGE(I4:I9)</f>
        <v>846</v>
      </c>
      <c r="J14" s="17">
        <f>AVERAGE(J4:J9)</f>
        <v>1139.5</v>
      </c>
      <c r="R14" s="1">
        <v>10</v>
      </c>
    </row>
    <row r="15" spans="1:23" x14ac:dyDescent="0.25">
      <c r="A15" s="39">
        <v>45928</v>
      </c>
      <c r="B15" s="19">
        <v>54545</v>
      </c>
      <c r="C15" s="3"/>
      <c r="D15" s="46" t="s">
        <v>18</v>
      </c>
      <c r="E15" s="46"/>
      <c r="F15" s="46"/>
      <c r="G15" s="16">
        <f>MIN(G4:G9)</f>
        <v>118</v>
      </c>
      <c r="H15" s="16">
        <f>MIN(H4:H9)</f>
        <v>398</v>
      </c>
      <c r="I15" s="16">
        <f>MIN(I4:I9)</f>
        <v>518</v>
      </c>
      <c r="J15" s="16">
        <f>MIN(J4:J9)</f>
        <v>636</v>
      </c>
      <c r="R15" s="1">
        <v>10</v>
      </c>
    </row>
    <row r="16" spans="1:23" x14ac:dyDescent="0.25">
      <c r="A16" s="39">
        <v>45929</v>
      </c>
      <c r="B16" s="19">
        <v>54854</v>
      </c>
      <c r="D16" s="46" t="s">
        <v>19</v>
      </c>
      <c r="E16" s="46"/>
      <c r="F16" s="46"/>
      <c r="G16" s="16">
        <f>MAX(G4:G9)</f>
        <v>658</v>
      </c>
      <c r="H16" s="16">
        <f>MAX(H4:H9)</f>
        <v>1067</v>
      </c>
      <c r="I16" s="16">
        <f>MAX(I4:I9)</f>
        <v>1253</v>
      </c>
      <c r="J16" s="16">
        <f>MAX(J4:J9)</f>
        <v>1515</v>
      </c>
      <c r="R16" s="1">
        <v>10</v>
      </c>
    </row>
    <row r="17" spans="1:18" x14ac:dyDescent="0.25">
      <c r="A17" s="39">
        <v>45930</v>
      </c>
      <c r="B17" s="19"/>
    </row>
    <row r="18" spans="1:18" x14ac:dyDescent="0.25">
      <c r="A18" s="39">
        <v>45931</v>
      </c>
      <c r="B18" s="19"/>
      <c r="C18" s="3"/>
    </row>
    <row r="19" spans="1:18" x14ac:dyDescent="0.25">
      <c r="A19" s="40">
        <v>45932</v>
      </c>
      <c r="B19" s="41"/>
      <c r="C19" s="3"/>
    </row>
    <row r="20" spans="1:18" x14ac:dyDescent="0.25">
      <c r="A20" s="40">
        <v>45933</v>
      </c>
      <c r="B20" s="41"/>
      <c r="C20" s="3"/>
    </row>
    <row r="21" spans="1:18" x14ac:dyDescent="0.25">
      <c r="A21" s="40">
        <v>45934</v>
      </c>
      <c r="B21" s="41"/>
      <c r="C21" s="3"/>
    </row>
    <row r="22" spans="1:18" x14ac:dyDescent="0.25">
      <c r="A22" s="40">
        <v>45935</v>
      </c>
      <c r="B22" s="41"/>
      <c r="C22" s="3"/>
    </row>
    <row r="23" spans="1:18" x14ac:dyDescent="0.25">
      <c r="A23" s="40">
        <v>45936</v>
      </c>
      <c r="B23" s="41"/>
      <c r="C23" s="3"/>
    </row>
    <row r="24" spans="1:18" x14ac:dyDescent="0.25">
      <c r="A24" s="40">
        <v>45937</v>
      </c>
      <c r="B24" s="41"/>
      <c r="C24" s="3"/>
    </row>
    <row r="25" spans="1:18" x14ac:dyDescent="0.25">
      <c r="A25" s="40">
        <v>45938</v>
      </c>
      <c r="B25" s="41"/>
      <c r="C25" s="3"/>
      <c r="R25" s="1">
        <v>16</v>
      </c>
    </row>
    <row r="26" spans="1:18" x14ac:dyDescent="0.25">
      <c r="A26" s="40">
        <v>45939</v>
      </c>
      <c r="B26" s="41"/>
      <c r="C26" s="3"/>
      <c r="N26" s="1">
        <f>POWER(2,2)</f>
        <v>4</v>
      </c>
      <c r="R26" s="1">
        <v>17</v>
      </c>
    </row>
    <row r="27" spans="1:18" x14ac:dyDescent="0.25">
      <c r="A27" s="40">
        <v>45940</v>
      </c>
      <c r="B27" s="41"/>
      <c r="C27" s="3"/>
      <c r="N27" s="1">
        <f>POWER(2,3)</f>
        <v>8</v>
      </c>
      <c r="R27" s="1">
        <v>18</v>
      </c>
    </row>
    <row r="28" spans="1:18" x14ac:dyDescent="0.25">
      <c r="A28" s="40">
        <v>45941</v>
      </c>
      <c r="B28" s="41"/>
      <c r="C28" s="3"/>
      <c r="N28" s="1">
        <f>POWER(2,2)</f>
        <v>4</v>
      </c>
    </row>
    <row r="29" spans="1:18" x14ac:dyDescent="0.25">
      <c r="A29" s="40">
        <v>45942</v>
      </c>
      <c r="B29" s="41"/>
      <c r="C29" s="3"/>
      <c r="N29" s="1">
        <f>POWER(2,3)</f>
        <v>8</v>
      </c>
    </row>
    <row r="30" spans="1:18" x14ac:dyDescent="0.25">
      <c r="A30" s="40">
        <v>45943</v>
      </c>
      <c r="B30" s="41"/>
      <c r="C30" s="3"/>
      <c r="N30" s="1">
        <f>POWER(2,2)</f>
        <v>4</v>
      </c>
    </row>
    <row r="31" spans="1:18" x14ac:dyDescent="0.25">
      <c r="A31" s="40">
        <v>45944</v>
      </c>
      <c r="B31" s="41"/>
      <c r="C31" s="3"/>
      <c r="N31" s="1">
        <f>POWER(2,3)</f>
        <v>8</v>
      </c>
    </row>
    <row r="32" spans="1:18" x14ac:dyDescent="0.25">
      <c r="A32" s="40">
        <v>45945</v>
      </c>
      <c r="B32" s="41"/>
      <c r="C32" s="3"/>
    </row>
    <row r="33" spans="1:3" x14ac:dyDescent="0.25">
      <c r="A33" s="40">
        <v>45946</v>
      </c>
      <c r="B33" s="41"/>
      <c r="C33" s="3"/>
    </row>
    <row r="34" spans="1:3" x14ac:dyDescent="0.25">
      <c r="A34" s="40">
        <v>45947</v>
      </c>
      <c r="B34" s="41"/>
      <c r="C34" s="3"/>
    </row>
    <row r="35" spans="1:3" x14ac:dyDescent="0.25">
      <c r="A35" s="8"/>
      <c r="B35" s="8"/>
    </row>
  </sheetData>
  <customSheetViews>
    <customSheetView guid="{78F92661-2F15-4ED1-B563-B44F2BDC581E}" scale="90">
      <selection activeCell="B15" sqref="B15"/>
      <pageMargins left="0.7" right="0.7" top="0.75" bottom="0.75" header="0.3" footer="0.3"/>
    </customSheetView>
    <customSheetView guid="{C1385A97-953E-45AF-970B-0400CD0055CD}" scale="90" hiddenRows="1" hiddenColumns="1" topLeftCell="D1">
      <selection activeCell="E19" sqref="E19"/>
      <pageMargins left="0.7" right="0.7" top="0.75" bottom="0.75" header="0.3" footer="0.3"/>
    </customSheetView>
  </customSheetViews>
  <mergeCells count="5">
    <mergeCell ref="D13:F13"/>
    <mergeCell ref="D14:F14"/>
    <mergeCell ref="D15:F15"/>
    <mergeCell ref="D16:F16"/>
    <mergeCell ref="A1:B1"/>
  </mergeCells>
  <phoneticPr fontId="7" type="noConversion"/>
  <hyperlinks>
    <hyperlink ref="U3" r:id="rId1" display="https://www.youtube.com/watch?v=310z5K14JXw" xr:uid="{ADF9445F-D569-46F8-96E6-A5CA06A433D7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46D2-F636-40B7-8E35-952AA8438A37}">
  <dimension ref="A1:Q64"/>
  <sheetViews>
    <sheetView zoomScale="90" zoomScaleNormal="90" workbookViewId="0">
      <selection activeCell="A6" sqref="A6"/>
    </sheetView>
  </sheetViews>
  <sheetFormatPr defaultRowHeight="15" x14ac:dyDescent="0.25"/>
  <cols>
    <col min="1" max="1" width="10.42578125" style="20" bestFit="1" customWidth="1"/>
    <col min="2" max="2" width="15.28515625" style="20" bestFit="1" customWidth="1"/>
    <col min="3" max="3" width="13.42578125" style="20" customWidth="1"/>
    <col min="4" max="4" width="21.28515625" style="20" customWidth="1"/>
    <col min="5" max="11" width="9.140625" style="20"/>
    <col min="12" max="12" width="26.42578125" style="20" bestFit="1" customWidth="1"/>
    <col min="13" max="14" width="9.140625" style="20"/>
    <col min="15" max="15" width="27.42578125" style="20" bestFit="1" customWidth="1"/>
    <col min="16" max="16" width="28.7109375" style="20" bestFit="1" customWidth="1"/>
    <col min="17" max="17" width="26.42578125" style="20" bestFit="1" customWidth="1"/>
    <col min="18" max="16384" width="9.140625" style="20"/>
  </cols>
  <sheetData>
    <row r="1" spans="1:10" ht="20.25" thickBot="1" x14ac:dyDescent="0.35">
      <c r="A1" s="48" t="s">
        <v>25</v>
      </c>
      <c r="B1" s="48"/>
      <c r="C1" s="48"/>
      <c r="D1" s="48"/>
      <c r="E1" s="48"/>
    </row>
    <row r="2" spans="1:10" ht="15.75" thickTop="1" x14ac:dyDescent="0.25">
      <c r="A2" s="23"/>
      <c r="B2" s="23"/>
      <c r="C2" s="23"/>
      <c r="D2" s="23"/>
      <c r="E2" s="23"/>
    </row>
    <row r="3" spans="1:10" x14ac:dyDescent="0.25">
      <c r="A3" s="24" t="s">
        <v>26</v>
      </c>
      <c r="B3" s="24" t="s">
        <v>27</v>
      </c>
      <c r="C3" s="24" t="s">
        <v>28</v>
      </c>
      <c r="D3" s="24" t="s">
        <v>29</v>
      </c>
      <c r="E3" s="24" t="s">
        <v>30</v>
      </c>
      <c r="F3" s="22"/>
    </row>
    <row r="4" spans="1:10" x14ac:dyDescent="0.25">
      <c r="A4" s="33" t="s">
        <v>65</v>
      </c>
      <c r="B4" s="33" t="s">
        <v>31</v>
      </c>
      <c r="C4" s="33" t="s">
        <v>32</v>
      </c>
      <c r="D4" s="34">
        <v>45996</v>
      </c>
      <c r="E4" s="35">
        <v>500</v>
      </c>
      <c r="G4" s="51" t="s">
        <v>41</v>
      </c>
      <c r="H4" s="52"/>
      <c r="I4" s="53"/>
    </row>
    <row r="5" spans="1:10" x14ac:dyDescent="0.25">
      <c r="A5" s="33" t="s">
        <v>33</v>
      </c>
      <c r="B5" s="33" t="s">
        <v>34</v>
      </c>
      <c r="C5" s="33" t="s">
        <v>35</v>
      </c>
      <c r="D5" s="34" t="s">
        <v>36</v>
      </c>
      <c r="E5" s="35">
        <v>500</v>
      </c>
      <c r="G5" s="54"/>
      <c r="H5" s="55"/>
      <c r="I5" s="56"/>
    </row>
    <row r="6" spans="1:10" x14ac:dyDescent="0.25">
      <c r="A6" s="33"/>
      <c r="B6" s="33"/>
      <c r="C6" s="33"/>
      <c r="D6" s="34"/>
      <c r="E6" s="35"/>
      <c r="G6" s="54"/>
      <c r="H6" s="55"/>
      <c r="I6" s="56"/>
    </row>
    <row r="7" spans="1:10" x14ac:dyDescent="0.25">
      <c r="G7" s="57"/>
      <c r="H7" s="58"/>
      <c r="I7" s="59"/>
    </row>
    <row r="10" spans="1:10" ht="20.25" thickBot="1" x14ac:dyDescent="0.35">
      <c r="A10" s="49" t="s">
        <v>25</v>
      </c>
      <c r="B10" s="49"/>
      <c r="C10" s="49"/>
      <c r="D10" s="49"/>
      <c r="E10" s="50"/>
    </row>
    <row r="11" spans="1:10" x14ac:dyDescent="0.25">
      <c r="A11" s="21"/>
      <c r="B11" s="21"/>
      <c r="C11" s="21"/>
      <c r="D11" s="21"/>
      <c r="E11" s="21"/>
    </row>
    <row r="12" spans="1:10" ht="15.75" x14ac:dyDescent="0.25">
      <c r="A12" s="26" t="s">
        <v>37</v>
      </c>
      <c r="B12" s="26" t="s">
        <v>38</v>
      </c>
      <c r="C12" s="26" t="s">
        <v>39</v>
      </c>
      <c r="D12" s="26" t="s">
        <v>40</v>
      </c>
    </row>
    <row r="13" spans="1:10" ht="15.75" x14ac:dyDescent="0.3">
      <c r="B13" s="38">
        <v>1</v>
      </c>
      <c r="C13" s="37">
        <v>1</v>
      </c>
      <c r="D13" s="38">
        <v>2</v>
      </c>
    </row>
    <row r="14" spans="1:10" ht="15.75" x14ac:dyDescent="0.3">
      <c r="B14" s="38">
        <v>2</v>
      </c>
      <c r="C14" s="37">
        <v>2</v>
      </c>
      <c r="D14" s="38">
        <v>3</v>
      </c>
    </row>
    <row r="15" spans="1:10" ht="15.75" x14ac:dyDescent="0.3">
      <c r="B15" s="38">
        <v>3</v>
      </c>
      <c r="C15" s="37">
        <v>3</v>
      </c>
      <c r="D15" s="38">
        <v>4</v>
      </c>
      <c r="F15" s="60" t="s">
        <v>42</v>
      </c>
      <c r="G15" s="61"/>
      <c r="H15" s="61"/>
      <c r="I15" s="61"/>
      <c r="J15" s="62"/>
    </row>
    <row r="16" spans="1:10" ht="15.75" x14ac:dyDescent="0.3">
      <c r="B16" s="38">
        <v>4</v>
      </c>
      <c r="C16" s="37">
        <v>4</v>
      </c>
      <c r="D16" s="38">
        <v>5</v>
      </c>
      <c r="F16" s="63"/>
      <c r="G16" s="64"/>
      <c r="H16" s="64"/>
      <c r="I16" s="64"/>
      <c r="J16" s="65"/>
    </row>
    <row r="17" spans="2:10" ht="15.75" x14ac:dyDescent="0.3">
      <c r="B17" s="38">
        <v>5</v>
      </c>
      <c r="C17" s="37">
        <v>5</v>
      </c>
      <c r="D17" s="38">
        <v>6</v>
      </c>
      <c r="F17" s="63"/>
      <c r="G17" s="64"/>
      <c r="H17" s="64"/>
      <c r="I17" s="64"/>
      <c r="J17" s="65"/>
    </row>
    <row r="18" spans="2:10" ht="15.75" x14ac:dyDescent="0.3">
      <c r="B18" s="38">
        <v>6</v>
      </c>
      <c r="C18" s="37">
        <v>6</v>
      </c>
      <c r="D18" s="38">
        <v>7</v>
      </c>
      <c r="F18" s="63"/>
      <c r="G18" s="64"/>
      <c r="H18" s="64"/>
      <c r="I18" s="64"/>
      <c r="J18" s="65"/>
    </row>
    <row r="19" spans="2:10" ht="15.75" x14ac:dyDescent="0.3">
      <c r="B19" s="38">
        <v>7</v>
      </c>
      <c r="C19" s="37">
        <v>7</v>
      </c>
      <c r="D19" s="38">
        <v>8</v>
      </c>
      <c r="F19" s="66"/>
      <c r="G19" s="67"/>
      <c r="H19" s="67"/>
      <c r="I19" s="67"/>
      <c r="J19" s="68"/>
    </row>
    <row r="20" spans="2:10" ht="15.75" x14ac:dyDescent="0.3">
      <c r="B20" s="38">
        <v>8</v>
      </c>
      <c r="C20" s="37">
        <v>8</v>
      </c>
      <c r="D20" s="38">
        <v>9</v>
      </c>
    </row>
    <row r="21" spans="2:10" ht="15.75" x14ac:dyDescent="0.3">
      <c r="B21" s="38">
        <v>9</v>
      </c>
      <c r="C21" s="37">
        <v>9</v>
      </c>
      <c r="D21" s="38">
        <v>10</v>
      </c>
      <c r="G21" s="69" t="s">
        <v>43</v>
      </c>
      <c r="H21" s="70"/>
      <c r="I21" s="71"/>
    </row>
    <row r="22" spans="2:10" ht="15.75" x14ac:dyDescent="0.3">
      <c r="B22" s="38">
        <v>10</v>
      </c>
      <c r="C22" s="37">
        <v>10</v>
      </c>
      <c r="D22" s="38">
        <v>11</v>
      </c>
      <c r="G22" s="72"/>
      <c r="H22" s="73"/>
      <c r="I22" s="74"/>
    </row>
    <row r="23" spans="2:10" ht="15.75" x14ac:dyDescent="0.3">
      <c r="B23" s="38">
        <v>11</v>
      </c>
      <c r="C23" s="37">
        <v>11</v>
      </c>
      <c r="D23" s="38">
        <v>12</v>
      </c>
      <c r="G23" s="72"/>
      <c r="H23" s="73"/>
      <c r="I23" s="74"/>
    </row>
    <row r="24" spans="2:10" ht="15.75" x14ac:dyDescent="0.3">
      <c r="B24" s="38">
        <v>12</v>
      </c>
      <c r="C24" s="37">
        <v>12</v>
      </c>
      <c r="D24" s="38">
        <v>13</v>
      </c>
      <c r="G24" s="75"/>
      <c r="H24" s="76"/>
      <c r="I24" s="77"/>
    </row>
    <row r="25" spans="2:10" ht="15.75" x14ac:dyDescent="0.3">
      <c r="B25" s="38">
        <v>13</v>
      </c>
      <c r="C25" s="37">
        <v>13</v>
      </c>
      <c r="D25" s="38">
        <v>14</v>
      </c>
    </row>
    <row r="26" spans="2:10" ht="15.75" x14ac:dyDescent="0.3">
      <c r="B26" s="38">
        <v>14</v>
      </c>
      <c r="C26" s="37">
        <v>14</v>
      </c>
      <c r="D26" s="38">
        <v>15</v>
      </c>
      <c r="G26" s="25"/>
      <c r="H26" s="20">
        <v>1</v>
      </c>
    </row>
    <row r="27" spans="2:10" ht="15.75" x14ac:dyDescent="0.3">
      <c r="B27" s="38">
        <v>15</v>
      </c>
      <c r="C27" s="37">
        <v>15</v>
      </c>
      <c r="D27" s="38">
        <v>16</v>
      </c>
      <c r="F27" s="20">
        <v>2</v>
      </c>
    </row>
    <row r="28" spans="2:10" ht="15.75" x14ac:dyDescent="0.3">
      <c r="B28" s="38">
        <v>16</v>
      </c>
      <c r="C28" s="37">
        <v>16</v>
      </c>
      <c r="D28" s="38">
        <v>17</v>
      </c>
    </row>
    <row r="29" spans="2:10" ht="15.75" x14ac:dyDescent="0.3">
      <c r="B29" s="38">
        <v>17</v>
      </c>
      <c r="C29" s="37">
        <v>17</v>
      </c>
      <c r="D29" s="38">
        <v>18</v>
      </c>
    </row>
    <row r="30" spans="2:10" ht="15.75" x14ac:dyDescent="0.3">
      <c r="B30" s="38">
        <v>18</v>
      </c>
      <c r="C30" s="37">
        <v>18</v>
      </c>
      <c r="D30" s="38">
        <v>19</v>
      </c>
    </row>
    <row r="31" spans="2:10" ht="15.75" x14ac:dyDescent="0.3">
      <c r="C31" s="37">
        <v>19</v>
      </c>
      <c r="D31" s="38">
        <v>20</v>
      </c>
    </row>
    <row r="32" spans="2:10" ht="15.75" x14ac:dyDescent="0.3">
      <c r="C32" s="37">
        <v>20</v>
      </c>
    </row>
    <row r="33" spans="1:17" x14ac:dyDescent="0.25">
      <c r="C33" s="36"/>
    </row>
    <row r="34" spans="1:17" x14ac:dyDescent="0.25">
      <c r="C34" s="36"/>
    </row>
    <row r="38" spans="1:17" ht="18.75" x14ac:dyDescent="0.25">
      <c r="A38" s="28"/>
      <c r="B38" s="28"/>
    </row>
    <row r="39" spans="1:17" x14ac:dyDescent="0.25">
      <c r="A39" s="27"/>
      <c r="D39" s="20" cm="1">
        <f t="array" ref="D39:D48">_xlfn.SEQUENCE(10,1,"01/01/2025",1)</f>
        <v>45658</v>
      </c>
      <c r="F39" s="20" t="e" cm="1">
        <f t="array" ref="F39">TEXT(A,"DDDD")</f>
        <v>#NAME?</v>
      </c>
    </row>
    <row r="40" spans="1:17" x14ac:dyDescent="0.25">
      <c r="A40" s="27"/>
      <c r="D40" s="20">
        <v>45659</v>
      </c>
      <c r="I40" s="20" t="str" cm="1">
        <f t="array" ref="I40:I54">"Q."&amp;_xlfn.SEQUENCE(15)</f>
        <v>Q.1</v>
      </c>
    </row>
    <row r="41" spans="1:17" x14ac:dyDescent="0.25">
      <c r="A41" s="27"/>
      <c r="D41" s="20">
        <v>45660</v>
      </c>
      <c r="I41" s="20" t="str">
        <v>Q.2</v>
      </c>
      <c r="L41" s="27" cm="1">
        <f t="array" ref="L41:L50">_xlfn.SEQUENCE(10,1,"01-JAN-25",1)</f>
        <v>45658</v>
      </c>
      <c r="O41" s="30" cm="1">
        <f t="array" ref="O41:Q45">_xlfn.SEQUENCE(5,3,"05-Feb-2025",2)</f>
        <v>45693</v>
      </c>
      <c r="P41" s="30">
        <v>45695</v>
      </c>
      <c r="Q41" s="30">
        <v>45697</v>
      </c>
    </row>
    <row r="42" spans="1:17" x14ac:dyDescent="0.25">
      <c r="A42" s="27"/>
      <c r="D42" s="20">
        <v>45661</v>
      </c>
      <c r="I42" s="20" t="str">
        <v>Q.3</v>
      </c>
      <c r="L42" s="27">
        <v>45659</v>
      </c>
      <c r="O42" s="30">
        <v>45699</v>
      </c>
      <c r="P42" s="30">
        <v>45701</v>
      </c>
      <c r="Q42" s="30">
        <v>45703</v>
      </c>
    </row>
    <row r="43" spans="1:17" x14ac:dyDescent="0.25">
      <c r="A43" s="27"/>
      <c r="D43" s="20">
        <v>45662</v>
      </c>
      <c r="I43" s="20" t="str">
        <v>Q.4</v>
      </c>
      <c r="L43" s="27">
        <v>45660</v>
      </c>
      <c r="O43" s="30">
        <v>45705</v>
      </c>
      <c r="P43" s="30">
        <v>45707</v>
      </c>
      <c r="Q43" s="30">
        <v>45709</v>
      </c>
    </row>
    <row r="44" spans="1:17" x14ac:dyDescent="0.25">
      <c r="A44" s="27"/>
      <c r="B44" s="29"/>
      <c r="C44" s="29"/>
      <c r="D44" s="29">
        <v>45663</v>
      </c>
      <c r="I44" s="20" t="str">
        <v>Q.5</v>
      </c>
      <c r="L44" s="27">
        <v>45661</v>
      </c>
      <c r="O44" s="30">
        <v>45711</v>
      </c>
      <c r="P44" s="30">
        <v>45713</v>
      </c>
      <c r="Q44" s="30">
        <v>45715</v>
      </c>
    </row>
    <row r="45" spans="1:17" x14ac:dyDescent="0.25">
      <c r="A45" s="27"/>
      <c r="B45" s="30"/>
      <c r="C45" s="30"/>
      <c r="D45" s="20">
        <v>45664</v>
      </c>
      <c r="I45" s="20" t="str">
        <v>Q.6</v>
      </c>
      <c r="L45" s="27">
        <v>45662</v>
      </c>
      <c r="O45" s="30">
        <v>45717</v>
      </c>
      <c r="P45" s="30">
        <v>45719</v>
      </c>
      <c r="Q45" s="30">
        <v>45721</v>
      </c>
    </row>
    <row r="46" spans="1:17" x14ac:dyDescent="0.25">
      <c r="A46" s="27"/>
      <c r="B46" s="30"/>
      <c r="C46" s="30"/>
      <c r="D46" s="20">
        <v>45665</v>
      </c>
      <c r="I46" s="20" t="str">
        <v>Q.7</v>
      </c>
      <c r="L46" s="27">
        <v>45663</v>
      </c>
    </row>
    <row r="47" spans="1:17" x14ac:dyDescent="0.25">
      <c r="A47" s="27"/>
      <c r="B47" s="30"/>
      <c r="C47" s="30"/>
      <c r="D47" s="20">
        <v>45666</v>
      </c>
      <c r="I47" s="20" t="str">
        <v>Q.8</v>
      </c>
      <c r="L47" s="27">
        <v>45664</v>
      </c>
    </row>
    <row r="48" spans="1:17" x14ac:dyDescent="0.25">
      <c r="A48" s="27"/>
      <c r="B48" s="30"/>
      <c r="C48" s="30"/>
      <c r="D48" s="20">
        <v>45667</v>
      </c>
      <c r="I48" s="20" t="str">
        <v>Q.9</v>
      </c>
      <c r="L48" s="27">
        <v>45665</v>
      </c>
    </row>
    <row r="49" spans="1:12" x14ac:dyDescent="0.25">
      <c r="A49" s="27"/>
      <c r="B49" s="30"/>
      <c r="C49" s="30"/>
      <c r="I49" s="20" t="str">
        <v>Q.10</v>
      </c>
      <c r="L49" s="27">
        <v>45666</v>
      </c>
    </row>
    <row r="50" spans="1:12" x14ac:dyDescent="0.25">
      <c r="A50" s="27"/>
      <c r="B50" s="30"/>
      <c r="C50" s="30"/>
      <c r="I50" s="20" t="str">
        <v>Q.11</v>
      </c>
      <c r="L50" s="27">
        <v>45667</v>
      </c>
    </row>
    <row r="51" spans="1:12" x14ac:dyDescent="0.25">
      <c r="A51" s="27"/>
      <c r="B51" s="30"/>
      <c r="C51" s="30"/>
      <c r="I51" s="20" t="str">
        <v>Q.12</v>
      </c>
    </row>
    <row r="52" spans="1:12" x14ac:dyDescent="0.25">
      <c r="A52" s="27"/>
      <c r="B52" s="30"/>
      <c r="C52" s="30"/>
      <c r="I52" s="20" t="str">
        <v>Q.13</v>
      </c>
    </row>
    <row r="53" spans="1:12" x14ac:dyDescent="0.25">
      <c r="A53" s="27"/>
      <c r="B53" s="30"/>
      <c r="C53" s="30"/>
      <c r="I53" s="20" t="str">
        <v>Q.14</v>
      </c>
    </row>
    <row r="54" spans="1:12" x14ac:dyDescent="0.25">
      <c r="B54" s="30"/>
      <c r="C54" s="30"/>
      <c r="I54" s="20" t="str">
        <v>Q.15</v>
      </c>
    </row>
    <row r="55" spans="1:12" x14ac:dyDescent="0.25">
      <c r="B55" s="30"/>
      <c r="C55" s="30"/>
    </row>
    <row r="56" spans="1:12" x14ac:dyDescent="0.25">
      <c r="C56" s="30"/>
    </row>
    <row r="57" spans="1:12" x14ac:dyDescent="0.25">
      <c r="C57" s="30"/>
    </row>
    <row r="58" spans="1:12" x14ac:dyDescent="0.25">
      <c r="C58" s="30"/>
    </row>
    <row r="59" spans="1:12" x14ac:dyDescent="0.25">
      <c r="C59" s="30"/>
    </row>
    <row r="60" spans="1:12" x14ac:dyDescent="0.25">
      <c r="C60" s="30"/>
    </row>
    <row r="61" spans="1:12" x14ac:dyDescent="0.25">
      <c r="C61" s="30"/>
    </row>
    <row r="62" spans="1:12" x14ac:dyDescent="0.25">
      <c r="C62" s="30"/>
    </row>
    <row r="63" spans="1:12" x14ac:dyDescent="0.25">
      <c r="C63" s="30"/>
    </row>
    <row r="64" spans="1:12" x14ac:dyDescent="0.25">
      <c r="C64" s="30"/>
    </row>
  </sheetData>
  <sortState xmlns:xlrd2="http://schemas.microsoft.com/office/spreadsheetml/2017/richdata2" ref="B45:D55">
    <sortCondition ref="C45:C55"/>
  </sortState>
  <mergeCells count="5">
    <mergeCell ref="A1:E1"/>
    <mergeCell ref="A10:E10"/>
    <mergeCell ref="G4:I7"/>
    <mergeCell ref="F15:J19"/>
    <mergeCell ref="G21:I24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E42E-F68B-4FF2-9324-BE2EA67012A8}">
  <dimension ref="A1:J16"/>
  <sheetViews>
    <sheetView workbookViewId="0">
      <selection activeCell="E10" sqref="E10"/>
    </sheetView>
  </sheetViews>
  <sheetFormatPr defaultRowHeight="15" x14ac:dyDescent="0.25"/>
  <cols>
    <col min="1" max="1" width="9.140625" style="20"/>
    <col min="2" max="2" width="18.85546875" style="20" bestFit="1" customWidth="1"/>
    <col min="3" max="3" width="9.140625" style="20"/>
    <col min="4" max="4" width="11" style="20" customWidth="1"/>
    <col min="5" max="5" width="9.7109375" style="20" bestFit="1" customWidth="1"/>
    <col min="6" max="11" width="9.140625" style="20"/>
    <col min="12" max="17" width="11" style="20" customWidth="1"/>
    <col min="18" max="16384" width="9.140625" style="20"/>
  </cols>
  <sheetData>
    <row r="1" spans="1:10" x14ac:dyDescent="0.25">
      <c r="A1" s="20" t="s">
        <v>45</v>
      </c>
      <c r="D1" s="20" t="s">
        <v>45</v>
      </c>
      <c r="J1" s="20" t="s">
        <v>45</v>
      </c>
    </row>
    <row r="2" spans="1:10" x14ac:dyDescent="0.25">
      <c r="A2" s="20" t="s">
        <v>46</v>
      </c>
      <c r="J2" s="20" t="s">
        <v>46</v>
      </c>
    </row>
    <row r="3" spans="1:10" x14ac:dyDescent="0.25">
      <c r="J3" s="20" t="s">
        <v>45</v>
      </c>
    </row>
    <row r="4" spans="1:10" x14ac:dyDescent="0.25">
      <c r="B4" s="20" t="s">
        <v>29</v>
      </c>
      <c r="C4" s="20" t="s">
        <v>26</v>
      </c>
      <c r="D4" s="20" t="s">
        <v>27</v>
      </c>
      <c r="E4" s="20" t="s">
        <v>28</v>
      </c>
      <c r="G4" s="32"/>
      <c r="H4" s="32"/>
    </row>
    <row r="5" spans="1:10" ht="18.75" x14ac:dyDescent="0.3">
      <c r="B5" s="20" t="s">
        <v>51</v>
      </c>
      <c r="C5" s="20" t="s">
        <v>52</v>
      </c>
      <c r="D5" s="20" t="s">
        <v>31</v>
      </c>
      <c r="E5" s="20" t="s">
        <v>32</v>
      </c>
      <c r="F5" s="31"/>
      <c r="G5" s="31"/>
      <c r="H5" s="31"/>
    </row>
    <row r="6" spans="1:10" ht="18.75" x14ac:dyDescent="0.3">
      <c r="B6" s="20" t="s">
        <v>53</v>
      </c>
      <c r="C6" s="20" t="s">
        <v>55</v>
      </c>
      <c r="D6" s="20" t="s">
        <v>34</v>
      </c>
      <c r="E6" s="20" t="s">
        <v>31</v>
      </c>
      <c r="F6" s="31"/>
      <c r="G6" s="31"/>
      <c r="H6" s="31"/>
    </row>
    <row r="7" spans="1:10" ht="18.75" x14ac:dyDescent="0.3">
      <c r="B7" s="20" t="s">
        <v>54</v>
      </c>
      <c r="C7" s="20" t="s">
        <v>56</v>
      </c>
      <c r="D7" s="20" t="s">
        <v>35</v>
      </c>
      <c r="E7" s="20" t="s">
        <v>49</v>
      </c>
      <c r="F7" s="31"/>
      <c r="G7" s="31"/>
      <c r="H7" s="31"/>
    </row>
    <row r="8" spans="1:10" ht="18.75" x14ac:dyDescent="0.3">
      <c r="B8" s="20" t="s">
        <v>47</v>
      </c>
      <c r="C8" s="20">
        <v>36478</v>
      </c>
      <c r="D8" s="20" t="s">
        <v>48</v>
      </c>
      <c r="E8" s="20" t="s">
        <v>50</v>
      </c>
      <c r="F8" s="31"/>
      <c r="G8" s="31"/>
      <c r="H8" s="31"/>
    </row>
    <row r="9" spans="1:10" ht="18.75" x14ac:dyDescent="0.3">
      <c r="B9" s="20" t="s">
        <v>57</v>
      </c>
      <c r="C9" s="20" t="s">
        <v>59</v>
      </c>
      <c r="D9" s="20" t="s">
        <v>60</v>
      </c>
      <c r="E9" s="20" t="s">
        <v>58</v>
      </c>
      <c r="F9" s="31"/>
      <c r="G9" s="31"/>
      <c r="H9" s="31"/>
    </row>
    <row r="10" spans="1:10" ht="18.75" x14ac:dyDescent="0.3">
      <c r="B10" s="20" t="s">
        <v>61</v>
      </c>
      <c r="C10" s="20" t="s">
        <v>62</v>
      </c>
      <c r="D10" s="20" t="s">
        <v>63</v>
      </c>
      <c r="E10" s="20" t="s">
        <v>64</v>
      </c>
      <c r="F10" s="31"/>
      <c r="G10" s="31"/>
      <c r="H10" s="31"/>
    </row>
    <row r="11" spans="1:10" ht="18.75" x14ac:dyDescent="0.3">
      <c r="F11" s="31"/>
      <c r="G11" s="31"/>
      <c r="H11" s="31"/>
    </row>
    <row r="12" spans="1:10" ht="18.75" x14ac:dyDescent="0.3">
      <c r="F12" s="31"/>
      <c r="G12" s="31"/>
      <c r="H12" s="31"/>
    </row>
    <row r="13" spans="1:10" ht="18.75" x14ac:dyDescent="0.3">
      <c r="F13" s="31"/>
      <c r="G13" s="31"/>
      <c r="H13" s="31"/>
    </row>
    <row r="14" spans="1:10" ht="18.75" x14ac:dyDescent="0.3">
      <c r="F14" s="31"/>
      <c r="G14" s="31"/>
      <c r="H14" s="31"/>
    </row>
    <row r="15" spans="1:10" ht="18.75" x14ac:dyDescent="0.3">
      <c r="F15" s="31"/>
      <c r="G15" s="31"/>
      <c r="H15" s="31"/>
    </row>
    <row r="16" spans="1:10" ht="18.75" x14ac:dyDescent="0.3">
      <c r="F16" s="31"/>
      <c r="G16" s="31"/>
      <c r="H16" s="31"/>
    </row>
  </sheetData>
  <phoneticPr fontId="7" type="noConversion"/>
  <conditionalFormatting sqref="F4:H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Beginner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Siraj</dc:creator>
  <cp:lastModifiedBy>Ayman Siraj</cp:lastModifiedBy>
  <dcterms:created xsi:type="dcterms:W3CDTF">2025-08-23T09:55:10Z</dcterms:created>
  <dcterms:modified xsi:type="dcterms:W3CDTF">2025-09-09T11:23:54Z</dcterms:modified>
</cp:coreProperties>
</file>